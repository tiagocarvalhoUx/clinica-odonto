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" sheetId="1" state="visible" r:id="rId2"/>
    <sheet name="Orcamentos" sheetId="2" state="visible" r:id="rId3"/>
    <sheet name="Dashboard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<sst xmlns="http://schemas.openxmlformats.org/spreadsheetml/2006/main" count="100" uniqueCount="60">
  <si>
    <t xml:space="preserve">RELATÓRIO DE ORÇAMENTOS</t>
  </si>
  <si>
    <t xml:space="preserve">Clínica Odontológica - Análise de Orçamentos</t>
  </si>
  <si>
    <t xml:space="preserve">Data do Relatório: 10/02/2026</t>
  </si>
  <si>
    <t xml:space="preserve">MÉTRICAS CHAVE</t>
  </si>
  <si>
    <t xml:space="preserve">Total de Orçamentos</t>
  </si>
  <si>
    <t xml:space="preserve">Valor Total</t>
  </si>
  <si>
    <t xml:space="preserve">R$ 4,320.00</t>
  </si>
  <si>
    <t xml:space="preserve">Orçamentos Aceitos</t>
  </si>
  <si>
    <t xml:space="preserve">Em Negociação</t>
  </si>
  <si>
    <t xml:space="preserve">Ticket Médio</t>
  </si>
  <si>
    <t xml:space="preserve">R$ 864.00</t>
  </si>
  <si>
    <t xml:space="preserve">CONTEÚDO DO RELATÓRIO</t>
  </si>
  <si>
    <t xml:space="preserve">Orcamentos</t>
  </si>
  <si>
    <t xml:space="preserve">Lista completa de orçamentos com filtros</t>
  </si>
  <si>
    <t xml:space="preserve">Dashboard</t>
  </si>
  <si>
    <t xml:space="preserve">Gráficos e análises visuais</t>
  </si>
  <si>
    <t xml:space="preserve">ORÇAMENTOS</t>
  </si>
  <si>
    <t xml:space="preserve">ID</t>
  </si>
  <si>
    <t xml:space="preserve">Data</t>
  </si>
  <si>
    <t xml:space="preserve">Paciente</t>
  </si>
  <si>
    <t xml:space="preserve">Telefone</t>
  </si>
  <si>
    <t xml:space="preserve">Email</t>
  </si>
  <si>
    <t xml:space="preserve">Dentista</t>
  </si>
  <si>
    <t xml:space="preserve">CRO</t>
  </si>
  <si>
    <t xml:space="preserve">Status</t>
  </si>
  <si>
    <t xml:space="preserve">Observações</t>
  </si>
  <si>
    <t xml:space="preserve">Criado por</t>
  </si>
  <si>
    <t xml:space="preserve">10/02/2026</t>
  </si>
  <si>
    <t xml:space="preserve">Ze Antonio</t>
  </si>
  <si>
    <t xml:space="preserve">18 981151515</t>
  </si>
  <si>
    <t xml:space="preserve">tiago_carvalho07@yahoo.com.br</t>
  </si>
  <si>
    <t xml:space="preserve">Dr Fernanda</t>
  </si>
  <si>
    <t xml:space="preserve">46546565456</t>
  </si>
  <si>
    <t xml:space="preserve">teste</t>
  </si>
  <si>
    <t xml:space="preserve">Administrador</t>
  </si>
  <si>
    <t xml:space="preserve">GYGY</t>
  </si>
  <si>
    <t xml:space="preserve">18981424545</t>
  </si>
  <si>
    <t xml:space="preserve">gygy@gmail.com</t>
  </si>
  <si>
    <t xml:space="preserve">TIAGO BOATTO CARVALHO</t>
  </si>
  <si>
    <t xml:space="preserve">18981142927</t>
  </si>
  <si>
    <t xml:space="preserve">Dr. Alexandre</t>
  </si>
  <si>
    <t xml:space="preserve">123132564</t>
  </si>
  <si>
    <t xml:space="preserve">Aceito</t>
  </si>
  <si>
    <t xml:space="preserve">exodontia + cirurgia</t>
  </si>
  <si>
    <t xml:space="preserve">09/02/2026</t>
  </si>
  <si>
    <t xml:space="preserve">Gy Andrade</t>
  </si>
  <si>
    <t xml:space="preserve">17981622621</t>
  </si>
  <si>
    <t xml:space="preserve">andradegy22@gmail.com</t>
  </si>
  <si>
    <t xml:space="preserve">Teste</t>
  </si>
  <si>
    <t xml:space="preserve">TOTAIS</t>
  </si>
  <si>
    <t xml:space="preserve">Total:</t>
  </si>
  <si>
    <t xml:space="preserve">Média:</t>
  </si>
  <si>
    <t xml:space="preserve">DASHBOARD DE ORÇAMENTOS</t>
  </si>
  <si>
    <t xml:space="preserve">ANÁLISE POR STATUS</t>
  </si>
  <si>
    <t xml:space="preserve">Quantidade</t>
  </si>
  <si>
    <t xml:space="preserve">% do Total</t>
  </si>
  <si>
    <t xml:space="preserve">TOTAL</t>
  </si>
  <si>
    <t xml:space="preserve">ANÁLISE POR DENTISTA</t>
  </si>
  <si>
    <t xml:space="preserve">ANÁLISE POR PACIENTE</t>
  </si>
  <si>
    <t xml:space="preserve">Orçamentos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</si>
</sst>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0%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Cambria"/>
      <family val="0"/>
      <charset val="1"/>
    </font>
    <font>
      <sz val="12"/>
      <color rgb="FF666666"/>
      <name val="Cambria"/>
      <family val="0"/>
      <charset val="1"/>
    </font>
    <font>
      <sz val="10"/>
      <color rgb="FF666666"/>
      <name val="Cambria"/>
      <family val="0"/>
      <charset val="1"/>
    </font>
    <font>
      <b val="true"/>
      <sz val="14"/>
      <color rgb="FF1F4E79"/>
      <name val="Cambria"/>
      <family val="0"/>
      <charset val="1"/>
    </font>
    <font>
      <b val="true"/>
      <sz val="16"/>
      <color rgb="FF000000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9F9F9"/>
        <bgColor rgb="FFFFFFFF"/>
      </patternFill>
    </fill>
    <fill>
      <patternFill patternType="solid">
        <fgColor rgb="FFFFEB9C"/>
        <bgColor rgb="FFFFCC99"/>
      </patternFill>
    </fill>
    <fill>
      <patternFill patternType="solid">
        <fgColor rgb="FFC6EF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9"/>
        </patternFill>
      </fill>
    </dxf>
    <dxf>
      <fill>
        <patternFill patternType="solid">
          <fgColor rgb="FFF9F9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9C57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Distribuição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Dashboard!B4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eparator>
</c:separator>
            <c:showLeaderLines val="1"/>
          </c:dLbls>
          <c:cat>
            <c:strRef>
              <c:f>Dashboard!$A$5:$A$6</c:f>
              <c:strCache>
                <c:ptCount val="2"/>
                <c:pt idx="0">
                  <c:v>Aceito</c:v>
                </c:pt>
                <c:pt idx="1">
                  <c:v>Em Negociação</c:v>
                </c:pt>
              </c:strCache>
            </c:strRef>
          </c:cat>
          <c:val>
            <c:numRef>
              <c:f>Dashboard!$B$5:$B$6</c:f>
              <c:numCache>
                <c:formatCode>General</c:formatCode>
                <c:ptCount val="2"/>
                <c:pt idx="0">
                  <c:v>3</c:v>
                </c:pt>
                <c:pt idx="1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Total por Dentista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Dashboard!$A$12:$A$13</c:f>
              <c:strCache>
                <c:ptCount val="2"/>
                <c:pt idx="0">
                  <c:v>Dr Fernanda</c:v>
                </c:pt>
                <c:pt idx="1">
                  <c:v>Dr. Alexandre</c:v>
                </c:pt>
              </c:strCache>
            </c:strRef>
          </c:cat>
          <c:val>
            <c:numRef>
              <c:f>Dashboard!$C$12:$C$13</c:f>
              <c:numCache>
                <c:formatCode>General</c:formatCode>
                <c:ptCount val="2"/>
                <c:pt idx="0">
                  <c:v>1730</c:v>
                </c:pt>
                <c:pt idx="1">
                  <c:v>2590</c:v>
                </c:pt>
              </c:numCache>
            </c:numRef>
          </c:val>
        </c:ser>
        <c:gapWidth val="150"/>
        <c:overlap val="0"/>
        <c:axId val="57028784"/>
        <c:axId val="62450726"/>
      </c:barChart>
      <c:catAx>
        <c:axId val="570287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Dentista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50726"/>
        <c:crosses val="autoZero"/>
        <c:auto val="1"/>
        <c:lblAlgn val="ctr"/>
        <c:lblOffset val="100"/>
        <c:noMultiLvlLbl val="0"/>
      </c:catAx>
      <c:valAx>
        <c:axId val="624507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287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Valor Total por Paciente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Dashboard!C17</c:f>
              <c:strCache>
                <c:ptCount val="1"/>
                <c:pt idx="0">
                  <c:v>Valor Total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Dashboard!$A$18:$A$21</c:f>
              <c:strCache>
                <c:ptCount val="4"/>
                <c:pt idx="0">
                  <c:v>Ze Antonio</c:v>
                </c:pt>
                <c:pt idx="1">
                  <c:v>GYGY</c:v>
                </c:pt>
                <c:pt idx="2">
                  <c:v>TIAGO BOATTO CARVALHO</c:v>
                </c:pt>
                <c:pt idx="3">
                  <c:v>Gy Andrade</c:v>
                </c:pt>
              </c:strCache>
            </c:strRef>
          </c:cat>
          <c:val>
            <c:numRef>
              <c:f>Dashboard!$C$18:$C$21</c:f>
              <c:numCache>
                <c:formatCode>General</c:formatCode>
                <c:ptCount val="4"/>
                <c:pt idx="0">
                  <c:v>1280</c:v>
                </c:pt>
                <c:pt idx="1">
                  <c:v>1690</c:v>
                </c:pt>
                <c:pt idx="2">
                  <c:v>850</c:v>
                </c:pt>
                <c:pt idx="3">
                  <c:v>500</c:v>
                </c:pt>
              </c:numCache>
            </c:numRef>
          </c:val>
        </c:ser>
        <c:gapWidth val="150"/>
        <c:overlap val="0"/>
        <c:axId val="89399474"/>
        <c:axId val="17543615"/>
      </c:barChart>
      <c:catAx>
        <c:axId val="8939947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Valor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543615"/>
        <c:crosses val="autoZero"/>
        <c:auto val="1"/>
        <c:lblAlgn val="ctr"/>
        <c:lblOffset val="100"/>
        <c:noMultiLvlLbl val="0"/>
      </c:catAx>
      <c:valAx>
        <c:axId val="175436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Paciente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994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0</xdr:rowOff>
    </xdr:from>
    <xdr:to>
      <xdr:col>10</xdr:col>
      <xdr:colOff>465480</xdr:colOff>
      <xdr:row>16</xdr:row>
      <xdr:rowOff>32400</xdr:rowOff>
    </xdr:to>
    <xdr:graphicFrame>
      <xdr:nvGraphicFramePr>
        <xdr:cNvPr id="0" name="Chart 1"/>
        <xdr:cNvGraphicFramePr/>
      </xdr:nvGraphicFramePr>
      <xdr:xfrm>
        <a:off x="4933800" y="628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0</xdr:rowOff>
    </xdr:from>
    <xdr:to>
      <xdr:col>9</xdr:col>
      <xdr:colOff>372240</xdr:colOff>
      <xdr:row>30</xdr:row>
      <xdr:rowOff>21960</xdr:rowOff>
    </xdr:to>
    <xdr:graphicFrame>
      <xdr:nvGraphicFramePr>
        <xdr:cNvPr id="1" name="Chart 2"/>
        <xdr:cNvGraphicFramePr/>
      </xdr:nvGraphicFramePr>
      <xdr:xfrm>
        <a:off x="4933800" y="3105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17</xdr:col>
      <xdr:colOff>275400</xdr:colOff>
      <xdr:row>17</xdr:row>
      <xdr:rowOff>21960</xdr:rowOff>
    </xdr:to>
    <xdr:graphicFrame>
      <xdr:nvGraphicFramePr>
        <xdr:cNvPr id="2" name="Chart 3"/>
        <xdr:cNvGraphicFramePr/>
      </xdr:nvGraphicFramePr>
      <xdr:xfrm>
        <a:off x="10854720" y="628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camentosTable" displayName="OrcamentosTable" ref="A3:K8" headerRowCount="1" totalsRowCount="0" totalsRowShown="0">
  <autoFilter ref="A3:K8"/>
  <tableColumns count="11">
    <tableColumn id="1" name="ID"/>
    <tableColumn id="2" name="Data"/>
    <tableColumn id="3" name="Paciente"/>
    <tableColumn id="4" name="Telefone"/>
    <tableColumn id="5" name="Email"/>
    <tableColumn id="6" name="Dentista"/>
    <tableColumn id="7" name="CRO"/>
    <tableColumn id="8" name="Valor Total"/>
    <tableColumn id="9" name="Status"/>
    <tableColumn id="10" name="Observações"/>
    <tableColumn id="11" name="Criado por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</row>
    <row r="7" customFormat="false" ht="24.75" hidden="false" customHeight="true" outlineLevel="0" collapsed="false">
      <c r="B7" s="4" t="s">
        <v>3</v>
      </c>
    </row>
    <row r="9" customFormat="false" ht="15" hidden="false" customHeight="false" outlineLevel="0" collapsed="false">
      <c r="B9" s="5" t="s">
        <v>4</v>
      </c>
      <c r="D9" s="5" t="s">
        <v>5</v>
      </c>
    </row>
    <row r="10" customFormat="false" ht="15" hidden="false" customHeight="false" outlineLevel="0" collapsed="false">
      <c r="B10" s="6" t="n">
        <v>5</v>
      </c>
      <c r="D10" s="6" t="s">
        <v>6</v>
      </c>
    </row>
    <row r="11" customFormat="false" ht="15" hidden="false" customHeight="false" outlineLevel="0" collapsed="false">
      <c r="B11" s="5" t="s">
        <v>7</v>
      </c>
      <c r="D11" s="5" t="s">
        <v>8</v>
      </c>
    </row>
    <row r="12" customFormat="false" ht="15" hidden="false" customHeight="false" outlineLevel="0" collapsed="false">
      <c r="B12" s="6" t="n">
        <v>3</v>
      </c>
      <c r="D12" s="6" t="n">
        <v>2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6" t="s">
        <v>10</v>
      </c>
    </row>
    <row r="16" customFormat="false" ht="15" hidden="false" customHeight="false" outlineLevel="0" collapsed="false">
      <c r="B16" s="7" t="s">
        <v>11</v>
      </c>
    </row>
    <row r="18" customFormat="false" ht="15" hidden="false" customHeight="false" outlineLevel="0" collapsed="false">
      <c r="B18" s="8" t="s">
        <v>12</v>
      </c>
      <c r="D18" s="9" t="s">
        <v>13</v>
      </c>
    </row>
    <row r="19" customFormat="false" ht="15" hidden="false" customHeight="false" outlineLevel="0" collapsed="false">
      <c r="B19" s="8" t="s">
        <v>14</v>
      </c>
      <c r="D19" s="9" t="s">
        <v>15</v>
      </c>
    </row>
  </sheetData>
  <mergeCells count="3">
    <mergeCell ref="B2:G2"/>
    <mergeCell ref="B3:G3"/>
    <mergeCell ref="B5:G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5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10" min="10" style="0" width="30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10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3" customFormat="false" ht="15" hidden="false" customHeight="false" outlineLevel="0" collapsed="false">
      <c r="A3" s="11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1" t="s">
        <v>23</v>
      </c>
      <c r="H3" s="11" t="s">
        <v>5</v>
      </c>
      <c r="I3" s="11" t="s">
        <v>24</v>
      </c>
      <c r="J3" s="11" t="s">
        <v>25</v>
      </c>
      <c r="K3" s="11" t="s">
        <v>26</v>
      </c>
    </row>
    <row r="4" customFormat="false" ht="15" hidden="false" customHeight="false" outlineLevel="0" collapsed="false">
      <c r="A4" s="12" t="n">
        <v>16</v>
      </c>
      <c r="B4" s="12" t="s">
        <v>27</v>
      </c>
      <c r="C4" s="13" t="s">
        <v>28</v>
      </c>
      <c r="D4" s="12" t="s">
        <v>29</v>
      </c>
      <c r="E4" s="13" t="s">
        <v>30</v>
      </c>
      <c r="F4" s="13" t="s">
        <v>31</v>
      </c>
      <c r="G4" s="12" t="s">
        <v>32</v>
      </c>
      <c r="H4" s="14" t="n">
        <v>1280</v>
      </c>
      <c r="I4" s="15" t="s">
        <v>8</v>
      </c>
      <c r="J4" s="13" t="s">
        <v>33</v>
      </c>
      <c r="K4" s="13" t="s">
        <v>34</v>
      </c>
    </row>
    <row r="5" customFormat="false" ht="15" hidden="false" customHeight="false" outlineLevel="0" collapsed="false">
      <c r="A5" s="16" t="n">
        <v>15</v>
      </c>
      <c r="B5" s="16" t="s">
        <v>27</v>
      </c>
      <c r="C5" s="17" t="s">
        <v>35</v>
      </c>
      <c r="D5" s="16" t="s">
        <v>36</v>
      </c>
      <c r="E5" s="17" t="s">
        <v>37</v>
      </c>
      <c r="F5" s="17" t="s">
        <v>31</v>
      </c>
      <c r="G5" s="16" t="s">
        <v>32</v>
      </c>
      <c r="H5" s="18" t="n">
        <v>450</v>
      </c>
      <c r="I5" s="15" t="s">
        <v>8</v>
      </c>
      <c r="J5" s="17" t="s">
        <v>33</v>
      </c>
      <c r="K5" s="17" t="s">
        <v>34</v>
      </c>
    </row>
    <row r="6" customFormat="false" ht="15" hidden="false" customHeight="false" outlineLevel="0" collapsed="false">
      <c r="A6" s="12" t="n">
        <v>13</v>
      </c>
      <c r="B6" s="12" t="s">
        <v>27</v>
      </c>
      <c r="C6" s="13" t="s">
        <v>38</v>
      </c>
      <c r="D6" s="12" t="s">
        <v>39</v>
      </c>
      <c r="E6" s="13" t="s">
        <v>30</v>
      </c>
      <c r="F6" s="13" t="s">
        <v>40</v>
      </c>
      <c r="G6" s="12" t="s">
        <v>41</v>
      </c>
      <c r="H6" s="14" t="n">
        <v>850</v>
      </c>
      <c r="I6" s="19" t="s">
        <v>42</v>
      </c>
      <c r="J6" s="13" t="s">
        <v>33</v>
      </c>
      <c r="K6" s="13" t="s">
        <v>34</v>
      </c>
    </row>
    <row r="7" customFormat="false" ht="15" hidden="false" customHeight="false" outlineLevel="0" collapsed="false">
      <c r="A7" s="16" t="n">
        <v>11</v>
      </c>
      <c r="B7" s="16" t="s">
        <v>27</v>
      </c>
      <c r="C7" s="17" t="s">
        <v>35</v>
      </c>
      <c r="D7" s="16" t="s">
        <v>36</v>
      </c>
      <c r="E7" s="17" t="s">
        <v>37</v>
      </c>
      <c r="F7" s="17" t="s">
        <v>40</v>
      </c>
      <c r="G7" s="16" t="s">
        <v>41</v>
      </c>
      <c r="H7" s="18" t="n">
        <v>1240</v>
      </c>
      <c r="I7" s="19" t="s">
        <v>42</v>
      </c>
      <c r="J7" s="17" t="s">
        <v>43</v>
      </c>
      <c r="K7" s="17" t="s">
        <v>34</v>
      </c>
    </row>
    <row r="8" customFormat="false" ht="15" hidden="false" customHeight="false" outlineLevel="0" collapsed="false">
      <c r="A8" s="12" t="n">
        <v>8</v>
      </c>
      <c r="B8" s="12" t="s">
        <v>44</v>
      </c>
      <c r="C8" s="13" t="s">
        <v>45</v>
      </c>
      <c r="D8" s="12" t="s">
        <v>46</v>
      </c>
      <c r="E8" s="13" t="s">
        <v>47</v>
      </c>
      <c r="F8" s="13" t="s">
        <v>40</v>
      </c>
      <c r="G8" s="12" t="s">
        <v>41</v>
      </c>
      <c r="H8" s="14" t="n">
        <v>500</v>
      </c>
      <c r="I8" s="19" t="s">
        <v>42</v>
      </c>
      <c r="J8" s="13" t="s">
        <v>48</v>
      </c>
      <c r="K8" s="13" t="s">
        <v>34</v>
      </c>
    </row>
    <row r="10" customFormat="false" ht="15" hidden="false" customHeight="false" outlineLevel="0" collapsed="false">
      <c r="A10" s="20" t="s">
        <v>49</v>
      </c>
      <c r="G10" s="21" t="s">
        <v>50</v>
      </c>
      <c r="H10" s="22" t="n">
        <f aca="false">SUM(H4:H8)</f>
        <v>4320</v>
      </c>
      <c r="I10" s="21" t="s">
        <v>51</v>
      </c>
      <c r="J10" s="22" t="n">
        <f aca="false">AVERAGE(H4:H8)</f>
        <v>864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4"/>
  </cols>
  <sheetData>
    <row r="1" customFormat="false" ht="34.5" hidden="false" customHeight="true" outlineLevel="0" collapsed="false">
      <c r="A1" s="1" t="s">
        <v>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7" t="s">
        <v>53</v>
      </c>
    </row>
    <row r="4" customFormat="false" ht="15" hidden="false" customHeight="false" outlineLevel="0" collapsed="false">
      <c r="A4" s="11" t="s">
        <v>24</v>
      </c>
      <c r="B4" s="11" t="s">
        <v>54</v>
      </c>
      <c r="C4" s="11" t="s">
        <v>5</v>
      </c>
      <c r="D4" s="11" t="s">
        <v>55</v>
      </c>
    </row>
    <row r="5" customFormat="false" ht="15" hidden="false" customHeight="false" outlineLevel="0" collapsed="false">
      <c r="A5" s="16" t="s">
        <v>42</v>
      </c>
      <c r="B5" s="16" t="n">
        <f aca="false">COUNTIF(Orcamentos!I4:I8,"Aceito")</f>
        <v>3</v>
      </c>
      <c r="C5" s="18" t="n">
        <f aca="false">SUMIF(Orcamentos!I4:I8,"Aceito",Orcamentos!H4:H8)</f>
        <v>2590</v>
      </c>
      <c r="D5" s="23" t="n">
        <f aca="false">C5/SUM(C5:C6)</f>
        <v>0.599537037037037</v>
      </c>
    </row>
    <row r="6" customFormat="false" ht="15" hidden="false" customHeight="false" outlineLevel="0" collapsed="false">
      <c r="A6" s="16" t="s">
        <v>8</v>
      </c>
      <c r="B6" s="16" t="n">
        <f aca="false">COUNTIF(Orcamentos!I4:I8,"Em Negociação")</f>
        <v>2</v>
      </c>
      <c r="C6" s="18" t="n">
        <f aca="false">SUMIF(Orcamentos!I4:I8,"Em Negociação",Orcamentos!H4:H8)</f>
        <v>1730</v>
      </c>
      <c r="D6" s="23" t="n">
        <f aca="false">C6/SUM(C5:C6)</f>
        <v>0.400462962962963</v>
      </c>
    </row>
    <row r="7" customFormat="false" ht="15" hidden="false" customHeight="false" outlineLevel="0" collapsed="false">
      <c r="A7" s="24" t="s">
        <v>56</v>
      </c>
      <c r="B7" s="24" t="n">
        <f aca="false">SUM(B5:B6)</f>
        <v>5</v>
      </c>
      <c r="C7" s="25" t="n">
        <f aca="false">SUM(C5:C6)</f>
        <v>4320</v>
      </c>
      <c r="D7" s="26" t="n">
        <f aca="false">SUM(D5:D6)</f>
        <v>1</v>
      </c>
    </row>
    <row r="10" customFormat="false" ht="15" hidden="false" customHeight="false" outlineLevel="0" collapsed="false">
      <c r="A10" s="7" t="s">
        <v>57</v>
      </c>
    </row>
    <row r="11" customFormat="false" ht="15" hidden="false" customHeight="false" outlineLevel="0" collapsed="false">
      <c r="A11" s="11" t="s">
        <v>22</v>
      </c>
      <c r="B11" s="11" t="s">
        <v>54</v>
      </c>
      <c r="C11" s="11" t="s">
        <v>5</v>
      </c>
      <c r="D11" s="11" t="s">
        <v>9</v>
      </c>
    </row>
    <row r="12" customFormat="false" ht="15" hidden="false" customHeight="false" outlineLevel="0" collapsed="false">
      <c r="A12" s="16" t="s">
        <v>31</v>
      </c>
      <c r="B12" s="16" t="n">
        <f aca="false">COUNTIF(Orcamentos!F4:F8,"Dr Fernanda")</f>
        <v>2</v>
      </c>
      <c r="C12" s="18" t="n">
        <f aca="false">SUMIF(Orcamentos!F4:F8,"Dr Fernanda",Orcamentos!H4:H8)</f>
        <v>1730</v>
      </c>
      <c r="D12" s="18" t="n">
        <f aca="false">C12/B12</f>
        <v>865</v>
      </c>
    </row>
    <row r="13" customFormat="false" ht="15" hidden="false" customHeight="false" outlineLevel="0" collapsed="false">
      <c r="A13" s="16" t="s">
        <v>40</v>
      </c>
      <c r="B13" s="16" t="n">
        <f aca="false">COUNTIF(Orcamentos!F4:F8,"Dr. Alexandre")</f>
        <v>3</v>
      </c>
      <c r="C13" s="18" t="n">
        <f aca="false">SUMIF(Orcamentos!F4:F8,"Dr. Alexandre",Orcamentos!H4:H8)</f>
        <v>2590</v>
      </c>
      <c r="D13" s="18" t="n">
        <f aca="false">C13/B13</f>
        <v>863.333333333333</v>
      </c>
    </row>
    <row r="16" customFormat="false" ht="15" hidden="false" customHeight="false" outlineLevel="0" collapsed="false">
      <c r="A16" s="7" t="s">
        <v>58</v>
      </c>
    </row>
    <row r="17" customFormat="false" ht="15" hidden="false" customHeight="false" outlineLevel="0" collapsed="false">
      <c r="A17" s="11" t="s">
        <v>19</v>
      </c>
      <c r="B17" s="11" t="s">
        <v>59</v>
      </c>
      <c r="C17" s="11" t="s">
        <v>5</v>
      </c>
    </row>
    <row r="18" customFormat="false" ht="15" hidden="false" customHeight="false" outlineLevel="0" collapsed="false">
      <c r="A18" s="17" t="s">
        <v>28</v>
      </c>
      <c r="B18" s="16" t="n">
        <f aca="false">COUNTIF(Orcamentos!C4:C8,"Ze Antonio")</f>
        <v>1</v>
      </c>
      <c r="C18" s="18" t="n">
        <f aca="false">SUMIF(Orcamentos!C4:C8,"Ze Antonio",Orcamentos!H4:H8)</f>
        <v>1280</v>
      </c>
    </row>
    <row r="19" customFormat="false" ht="15" hidden="false" customHeight="false" outlineLevel="0" collapsed="false">
      <c r="A19" s="17" t="s">
        <v>35</v>
      </c>
      <c r="B19" s="16" t="n">
        <f aca="false">COUNTIF(Orcamentos!C4:C8,"GYGY")</f>
        <v>2</v>
      </c>
      <c r="C19" s="18" t="n">
        <f aca="false">SUMIF(Orcamentos!C4:C8,"GYGY",Orcamentos!H4:H8)</f>
        <v>1690</v>
      </c>
    </row>
    <row r="20" customFormat="false" ht="15" hidden="false" customHeight="false" outlineLevel="0" collapsed="false">
      <c r="A20" s="17" t="s">
        <v>38</v>
      </c>
      <c r="B20" s="16" t="n">
        <f aca="false">COUNTIF(Orcamentos!C4:C8,"TIAGO BOATTO CARVALHO")</f>
        <v>1</v>
      </c>
      <c r="C20" s="18" t="n">
        <f aca="false">SUMIF(Orcamentos!C4:C8,"TIAGO BOATTO CARVALHO",Orcamentos!H4:H8)</f>
        <v>850</v>
      </c>
    </row>
    <row r="21" customFormat="false" ht="15" hidden="false" customHeight="false" outlineLevel="0" collapsed="false">
      <c r="A21" s="17" t="s">
        <v>45</v>
      </c>
      <c r="B21" s="16" t="n">
        <f aca="false">COUNTIF(Orcamentos!C4:C8,"Gy Andrade")</f>
        <v>1</v>
      </c>
      <c r="C21" s="18" t="n">
        <f aca="false">SUMIF(Orcamentos!C4:C8,"Gy Andrade",Orcamentos!H4:H8)</f>
        <v>500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2026-02-10T12:25:02Z</dcterms:created>
  <dc:creator>openpyxl</dc:creator>
  <dc:description/>
  <dc:language>en-US</dc:language>
  <cp:lastModifiedBy/>
  <dcterms:modified xsi:type="dcterms:W3CDTF">2026-02-10T20:26:12Z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